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Quality\Downloads\"/>
    </mc:Choice>
  </mc:AlternateContent>
  <xr:revisionPtr revIDLastSave="0" documentId="8_{435C685D-A58F-4F90-BFD8-19B6DAB79DB1}" xr6:coauthVersionLast="47" xr6:coauthVersionMax="47" xr10:uidLastSave="{00000000-0000-0000-0000-000000000000}"/>
  <bookViews>
    <workbookView xWindow="-120" yWindow="-120" windowWidth="29040" windowHeight="15720" xr2:uid="{5CF5024A-AB5C-4E42-8254-478BB3F10C4A}"/>
  </bookViews>
  <sheets>
    <sheet name="PREVENTIVE MAINTEN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1" i="1" l="1"/>
  <c r="A9" i="1"/>
  <c r="A8" i="1"/>
  <c r="A7" i="1"/>
  <c r="A4" i="1"/>
  <c r="A3" i="1"/>
  <c r="A2" i="1"/>
</calcChain>
</file>

<file path=xl/sharedStrings.xml><?xml version="1.0" encoding="utf-8"?>
<sst xmlns="http://schemas.openxmlformats.org/spreadsheetml/2006/main" count="72" uniqueCount="45">
  <si>
    <t>PMNUM</t>
  </si>
  <si>
    <t>PM DESCRIPTION</t>
  </si>
  <si>
    <t>ASSETNUM</t>
  </si>
  <si>
    <t>ROUTE</t>
  </si>
  <si>
    <t>LOCATION</t>
  </si>
  <si>
    <t>JPNUM</t>
  </si>
  <si>
    <t>NEXTDATE</t>
  </si>
  <si>
    <t>LEAD TIME (DAYS)</t>
  </si>
  <si>
    <t>FREQUENCY</t>
  </si>
  <si>
    <t>FREQUNIT</t>
  </si>
  <si>
    <t>PMCOUNTER</t>
  </si>
  <si>
    <t>WORKTYPE</t>
  </si>
  <si>
    <t>WOSTATUS</t>
  </si>
  <si>
    <t>STORELOC</t>
  </si>
  <si>
    <t>SUPERVISOR</t>
  </si>
  <si>
    <t>LEAD</t>
  </si>
  <si>
    <t>PERSONGROUP</t>
  </si>
  <si>
    <t>department</t>
  </si>
  <si>
    <t>sub department</t>
  </si>
  <si>
    <t>PM of Split A/C Unit</t>
  </si>
  <si>
    <t>ALS-HV-00001</t>
  </si>
  <si>
    <t>JP415004</t>
  </si>
  <si>
    <t>MONTHS</t>
  </si>
  <si>
    <t>PM</t>
  </si>
  <si>
    <t>WSCH</t>
  </si>
  <si>
    <t>DIWAN-MAIN</t>
  </si>
  <si>
    <t>C1-HVAC</t>
  </si>
  <si>
    <t>ALS-HV-00002</t>
  </si>
  <si>
    <t>PM of Package A/C unit</t>
  </si>
  <si>
    <t>ALS-HV-00003</t>
  </si>
  <si>
    <t>JP415002</t>
  </si>
  <si>
    <t>PM of Fan Coil Unit</t>
  </si>
  <si>
    <t>MS-MEC-FCU-001</t>
  </si>
  <si>
    <t>JP415003</t>
  </si>
  <si>
    <t>MS-MEC-SAU-001</t>
  </si>
  <si>
    <t>PM of Fire Damper</t>
  </si>
  <si>
    <t>MS-MEC-FDA-001</t>
  </si>
  <si>
    <t>JP415010</t>
  </si>
  <si>
    <t>WEEKS</t>
  </si>
  <si>
    <t>C1-PLUMBING</t>
  </si>
  <si>
    <t>Cleaning of Hallway</t>
  </si>
  <si>
    <t>KG-L00-19</t>
  </si>
  <si>
    <t>JP000020</t>
  </si>
  <si>
    <t>C1-HOUSEKEEPING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</si>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</sst>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1" fontId="1" fillId="0" borderId="1" xfId="0" applyNumberFormat="1" applyFont="1" applyBorder="1"/>
    <xf numFmtId="0" fontId="1" fillId="0" borderId="2" xfId="0" applyFont="1" applyBorder="1"/>
    <xf numFmtId="0" fontId="3" fillId="0" borderId="3" xfId="1" applyFont="1" applyBorder="1"/>
    <xf numFmtId="0" fontId="1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4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left" vertical="center"/>
    </xf>
    <xf numFmtId="164" fontId="1" fillId="0" borderId="3" xfId="0" applyNumberFormat="1" applyFont="1" applyBorder="1"/>
    <xf numFmtId="1" fontId="1" fillId="0" borderId="3" xfId="0" applyNumberFormat="1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6" xfId="0" applyFont="1" applyBorder="1" applyAlignment="1">
      <alignment horizontal="left" vertical="center"/>
    </xf>
    <xf numFmtId="1" fontId="0" fillId="0" borderId="0" xfId="0" applyNumberFormat="1"/>
    <xf numFmtId="164" fontId="1" fillId="0" borderId="0" xfId="0" applyNumberFormat="1" applyFont="1"/>
    <xf numFmtId="1" fontId="1" fillId="0" borderId="0" xfId="0" applyNumberFormat="1" applyFont="1"/>
  </cellXfs>
  <cellStyles count="2">
    <cellStyle name="Normal" xfId="0" builtinId="0"/>
    <cellStyle name="Normal 2" xfId="1" xr:uid="{234904EA-AFA0-47BF-A8A6-F41B1EA952F9}"/>
  </cellStyles>
  <dxfs count="36"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[$-409]d\-mmm\-yy;@"/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bgColor auto="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C21A70-B810-46D2-9875-82B7B4EB9508}" name="Table3" displayName="Table3" ref="A1:S13" totalsRowShown="0" headerRowDxfId="23" dataDxfId="22" headerRowBorderDxfId="20" tableBorderDxfId="21" totalsRowBorderDxfId="19">
  <autoFilter ref="A1:S13" xr:uid="{00000000-0009-0000-0100-000007000000}"/>
  <tableColumns count="19">
    <tableColumn id="1" xr3:uid="{8F29380C-28A2-40E0-BC24-E180DEDAE297}" name="PMNUM" dataDxfId="18"/>
    <tableColumn id="2" xr3:uid="{4968A5A9-5094-4F2A-B38A-F984DA3E95C1}" name="PM DESCRIPTION" dataDxfId="17"/>
    <tableColumn id="3" xr3:uid="{2DBADD5F-2BB9-497D-AC5D-FF5A93B5E989}" name="ASSETNUM" dataDxfId="16"/>
    <tableColumn id="4" xr3:uid="{DCCF59F6-42AA-4F75-AD06-A060D3407237}" name="ROUTE" dataDxfId="15"/>
    <tableColumn id="5" xr3:uid="{BCC84AB5-7DB2-4A53-9BB6-96A9C5CEA9BD}" name="LOCATION" dataDxfId="14"/>
    <tableColumn id="6" xr3:uid="{1298D696-5913-4C3D-8DD7-26CB3AC83209}" name="JPNUM" dataDxfId="13"/>
    <tableColumn id="7" xr3:uid="{32937762-3521-401E-9C4E-E3BF3D0F362F}" name="NEXTDATE" dataDxfId="12"/>
    <tableColumn id="18" xr3:uid="{0F05A162-44B7-403D-B59E-6B46E27EFAF6}" name="LEAD TIME (DAYS)" dataDxfId="11"/>
    <tableColumn id="9" xr3:uid="{8C1E755D-76E4-4499-BD13-A168D6856DD3}" name="FREQUENCY" dataDxfId="10"/>
    <tableColumn id="10" xr3:uid="{0B5286B3-1FDD-45CC-9040-5BB75FE142E7}" name="FREQUNIT" dataDxfId="9"/>
    <tableColumn id="11" xr3:uid="{60702962-7E0A-4EE9-A341-018889135B74}" name="PMCOUNTER" dataDxfId="8"/>
    <tableColumn id="12" xr3:uid="{BF10B296-16E4-43C7-8FCC-08229AF6C972}" name="WORKTYPE" dataDxfId="7"/>
    <tableColumn id="13" xr3:uid="{946ECCEE-87A3-4D13-B356-857A27E4754D}" name="WOSTATUS" dataDxfId="6"/>
    <tableColumn id="14" xr3:uid="{C505D650-0B38-4566-849F-D6D4249B49FF}" name="STORELOC" dataDxfId="5"/>
    <tableColumn id="16" xr3:uid="{A1629CBC-761D-4683-9647-E17D737D8C75}" name="SUPERVISOR" dataDxfId="4"/>
    <tableColumn id="8" xr3:uid="{1DE072D2-C9C9-4FC4-AA8C-7EFB15E6369E}" name="LEAD" dataDxfId="3"/>
    <tableColumn id="15" xr3:uid="{D4F7DDA3-C172-4613-A107-C32FCF0143EE}" name="PERSONGROUP" dataDxfId="2"/>
    <tableColumn id="17" xr3:uid="{907A1DC0-B5CF-4B0C-A0E2-7B9C46933572}" name="department" dataDxfId="1"/>
    <tableColumn id="19" xr3:uid="{1B67D056-6A3C-4CF4-816D-E9E1AB213D49}" name="sub depart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5C173-89D4-43EB-A513-8F726A2345AB}">
  <sheetPr>
    <tabColor rgb="FF00B050"/>
  </sheetPr>
  <dimension ref="A1:S21"/>
  <sheetViews>
    <sheetView tabSelected="1" workbookViewId="0">
      <selection activeCell="F31" sqref="F31"/>
    </sheetView>
  </sheetViews>
  <sheetFormatPr defaultColWidth="36.42578125" defaultRowHeight="12.75" x14ac:dyDescent="0.2"/>
  <cols>
    <col min="1" max="2" width="20.28515625" style="6" customWidth="1"/>
    <col min="3" max="3" width="16.140625" style="6" bestFit="1" customWidth="1"/>
    <col min="4" max="4" width="16.7109375" style="6" customWidth="1"/>
    <col min="5" max="5" width="18.7109375" style="6" customWidth="1"/>
    <col min="6" max="6" width="16.28515625" style="6" customWidth="1"/>
    <col min="7" max="7" width="14.85546875" style="17" customWidth="1"/>
    <col min="8" max="8" width="19.5703125" style="18" bestFit="1" customWidth="1"/>
    <col min="9" max="9" width="14.28515625" style="6" bestFit="1" customWidth="1"/>
    <col min="10" max="10" width="14.28515625" style="6" customWidth="1"/>
    <col min="11" max="11" width="14.7109375" style="6" bestFit="1" customWidth="1"/>
    <col min="12" max="12" width="15.5703125" style="6" customWidth="1"/>
    <col min="13" max="13" width="15.7109375" style="6" customWidth="1"/>
    <col min="14" max="14" width="16" style="6" customWidth="1"/>
    <col min="15" max="15" width="14.7109375" style="6" bestFit="1" customWidth="1"/>
    <col min="16" max="16" width="8.7109375" style="6" bestFit="1" customWidth="1"/>
    <col min="17" max="17" width="25" style="6" customWidth="1"/>
    <col min="18" max="16384" width="36.42578125" style="6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5" t="s">
        <v>17</v>
      </c>
      <c r="S1" s="5" t="s">
        <v>18</v>
      </c>
    </row>
    <row r="2" spans="1:19" x14ac:dyDescent="0.2">
      <c r="A2" s="1" t="str">
        <f>CONCATENATE("PM",Table3[[#This Row],[ASSETNUM]])</f>
        <v>PMALS-HV-00001</v>
      </c>
      <c r="B2" s="1" t="s">
        <v>19</v>
      </c>
      <c r="C2" s="1" t="s">
        <v>20</v>
      </c>
      <c r="D2" s="1"/>
      <c r="E2" s="1"/>
      <c r="F2" s="7" t="s">
        <v>21</v>
      </c>
      <c r="G2" s="2">
        <v>44562</v>
      </c>
      <c r="H2" s="3">
        <v>30</v>
      </c>
      <c r="I2" s="1">
        <v>3</v>
      </c>
      <c r="J2" s="1" t="s">
        <v>22</v>
      </c>
      <c r="K2" s="1">
        <v>0</v>
      </c>
      <c r="L2" s="1" t="s">
        <v>23</v>
      </c>
      <c r="M2" s="1" t="s">
        <v>24</v>
      </c>
      <c r="N2" s="1" t="s">
        <v>25</v>
      </c>
      <c r="O2" s="7"/>
      <c r="P2" s="7"/>
      <c r="Q2" s="4" t="s">
        <v>26</v>
      </c>
      <c r="R2" s="7"/>
      <c r="S2" s="7"/>
    </row>
    <row r="3" spans="1:19" x14ac:dyDescent="0.2">
      <c r="A3" s="1" t="str">
        <f>CONCATENATE("PM",Table3[[#This Row],[ASSETNUM]])</f>
        <v>PMALS-HV-00002</v>
      </c>
      <c r="B3" s="1" t="s">
        <v>19</v>
      </c>
      <c r="C3" s="1" t="s">
        <v>27</v>
      </c>
      <c r="D3" s="1"/>
      <c r="E3" s="1"/>
      <c r="F3" s="7" t="s">
        <v>21</v>
      </c>
      <c r="G3" s="2">
        <v>43101</v>
      </c>
      <c r="H3" s="3">
        <v>30</v>
      </c>
      <c r="I3" s="1">
        <v>3</v>
      </c>
      <c r="J3" s="1" t="s">
        <v>22</v>
      </c>
      <c r="K3" s="1">
        <v>0</v>
      </c>
      <c r="L3" s="1" t="s">
        <v>23</v>
      </c>
      <c r="M3" s="1" t="s">
        <v>24</v>
      </c>
      <c r="N3" s="1" t="s">
        <v>25</v>
      </c>
      <c r="O3" s="7"/>
      <c r="P3" s="7"/>
      <c r="Q3" s="4" t="s">
        <v>26</v>
      </c>
      <c r="R3" s="7"/>
      <c r="S3" s="7"/>
    </row>
    <row r="4" spans="1:19" x14ac:dyDescent="0.2">
      <c r="A4" s="1" t="str">
        <f>CONCATENATE("PM",Table3[[#This Row],[ASSETNUM]])</f>
        <v>PMALS-HV-00003</v>
      </c>
      <c r="B4" s="1" t="s">
        <v>28</v>
      </c>
      <c r="C4" s="1" t="s">
        <v>29</v>
      </c>
      <c r="D4" s="1"/>
      <c r="E4" s="1"/>
      <c r="F4" s="7" t="s">
        <v>30</v>
      </c>
      <c r="G4" s="2">
        <v>43101</v>
      </c>
      <c r="H4" s="3">
        <v>30</v>
      </c>
      <c r="I4" s="1">
        <v>3</v>
      </c>
      <c r="J4" s="1" t="s">
        <v>22</v>
      </c>
      <c r="K4" s="1">
        <v>0</v>
      </c>
      <c r="L4" s="1" t="s">
        <v>23</v>
      </c>
      <c r="M4" s="1" t="s">
        <v>24</v>
      </c>
      <c r="N4" s="1" t="s">
        <v>25</v>
      </c>
      <c r="O4" s="7"/>
      <c r="P4" s="7"/>
      <c r="Q4" s="4" t="s">
        <v>26</v>
      </c>
      <c r="R4" s="7"/>
      <c r="S4" s="7"/>
    </row>
    <row r="5" spans="1:19" x14ac:dyDescent="0.2">
      <c r="A5" s="8"/>
      <c r="B5" s="9"/>
      <c r="C5" s="9"/>
      <c r="D5" s="9"/>
      <c r="E5" s="9"/>
      <c r="F5" s="10"/>
      <c r="G5" s="11"/>
      <c r="H5" s="12"/>
      <c r="I5" s="9"/>
      <c r="J5" s="9"/>
      <c r="K5" s="9"/>
      <c r="L5" s="9"/>
      <c r="M5" s="13"/>
      <c r="N5" s="9"/>
      <c r="O5" s="13"/>
      <c r="P5" s="13"/>
      <c r="Q5" s="13"/>
      <c r="R5" s="7"/>
      <c r="S5" s="7"/>
    </row>
    <row r="6" spans="1:19" x14ac:dyDescent="0.2">
      <c r="A6" s="14"/>
      <c r="B6" s="1"/>
      <c r="C6" s="1"/>
      <c r="D6" s="1"/>
      <c r="E6" s="1"/>
      <c r="F6" s="15"/>
      <c r="G6" s="2"/>
      <c r="H6" s="3"/>
      <c r="I6" s="1"/>
      <c r="J6" s="1"/>
      <c r="K6" s="1"/>
      <c r="L6" s="1"/>
      <c r="M6" s="4"/>
      <c r="N6" s="1"/>
      <c r="O6" s="4"/>
      <c r="P6" s="4"/>
      <c r="Q6" s="4"/>
      <c r="R6" s="7"/>
      <c r="S6" s="7"/>
    </row>
    <row r="7" spans="1:19" x14ac:dyDescent="0.2">
      <c r="A7" s="1" t="str">
        <f>CONCATENATE("PM",Table3[[#This Row],[ASSETNUM]])</f>
        <v>PMMS-MEC-FCU-001</v>
      </c>
      <c r="B7" s="1" t="s">
        <v>31</v>
      </c>
      <c r="C7" s="1" t="s">
        <v>32</v>
      </c>
      <c r="D7" s="1"/>
      <c r="E7" s="1"/>
      <c r="F7" s="15" t="s">
        <v>33</v>
      </c>
      <c r="G7" s="2">
        <v>45047</v>
      </c>
      <c r="H7" s="3">
        <v>7</v>
      </c>
      <c r="I7" s="1">
        <v>3</v>
      </c>
      <c r="J7" s="1" t="s">
        <v>22</v>
      </c>
      <c r="K7" s="1">
        <v>0</v>
      </c>
      <c r="L7" s="1" t="s">
        <v>23</v>
      </c>
      <c r="M7" s="4" t="s">
        <v>24</v>
      </c>
      <c r="N7" s="1"/>
      <c r="O7" s="4"/>
      <c r="P7" s="4"/>
      <c r="Q7" s="4" t="s">
        <v>26</v>
      </c>
      <c r="R7" s="7"/>
      <c r="S7" s="7"/>
    </row>
    <row r="8" spans="1:19" x14ac:dyDescent="0.2">
      <c r="A8" s="1" t="str">
        <f>CONCATENATE("PM",Table3[[#This Row],[ASSETNUM]])</f>
        <v>PMMS-MEC-SAU-001</v>
      </c>
      <c r="B8" s="1" t="s">
        <v>19</v>
      </c>
      <c r="C8" s="1" t="s">
        <v>34</v>
      </c>
      <c r="D8" s="1"/>
      <c r="E8" s="1"/>
      <c r="F8" s="15" t="s">
        <v>21</v>
      </c>
      <c r="G8" s="2">
        <v>45047</v>
      </c>
      <c r="H8" s="3">
        <v>7</v>
      </c>
      <c r="I8" s="1">
        <v>1</v>
      </c>
      <c r="J8" s="1" t="s">
        <v>22</v>
      </c>
      <c r="K8" s="1">
        <v>0</v>
      </c>
      <c r="L8" s="1" t="s">
        <v>23</v>
      </c>
      <c r="M8" s="4" t="s">
        <v>24</v>
      </c>
      <c r="N8" s="1"/>
      <c r="O8" s="4"/>
      <c r="P8" s="4"/>
      <c r="Q8" s="4" t="s">
        <v>26</v>
      </c>
      <c r="R8" s="7"/>
      <c r="S8" s="7"/>
    </row>
    <row r="9" spans="1:19" x14ac:dyDescent="0.2">
      <c r="A9" s="1" t="str">
        <f>CONCATENATE("PM",Table3[[#This Row],[ASSETNUM]])</f>
        <v>PMMS-MEC-FDA-001</v>
      </c>
      <c r="B9" s="1" t="s">
        <v>35</v>
      </c>
      <c r="C9" s="1" t="s">
        <v>36</v>
      </c>
      <c r="D9" s="1"/>
      <c r="E9" s="1"/>
      <c r="F9" s="15" t="s">
        <v>37</v>
      </c>
      <c r="G9" s="2">
        <v>45047</v>
      </c>
      <c r="H9" s="3">
        <v>0</v>
      </c>
      <c r="I9" s="1">
        <v>1</v>
      </c>
      <c r="J9" s="1" t="s">
        <v>38</v>
      </c>
      <c r="K9" s="1">
        <v>0</v>
      </c>
      <c r="L9" s="1" t="s">
        <v>23</v>
      </c>
      <c r="M9" s="4" t="s">
        <v>24</v>
      </c>
      <c r="N9" s="1"/>
      <c r="O9" s="4"/>
      <c r="P9" s="4"/>
      <c r="Q9" s="4" t="s">
        <v>39</v>
      </c>
      <c r="R9" s="7"/>
      <c r="S9" s="7"/>
    </row>
    <row r="10" spans="1:19" x14ac:dyDescent="0.2">
      <c r="A10" s="14"/>
      <c r="B10" s="1"/>
      <c r="C10" s="1"/>
      <c r="D10" s="1"/>
      <c r="E10" s="1"/>
      <c r="F10" s="15"/>
      <c r="G10" s="2"/>
      <c r="H10" s="3"/>
      <c r="I10" s="1"/>
      <c r="J10" s="1"/>
      <c r="K10" s="1"/>
      <c r="L10" s="1"/>
      <c r="M10" s="4"/>
      <c r="N10" s="1"/>
      <c r="O10" s="4"/>
      <c r="P10" s="4"/>
      <c r="Q10" s="4"/>
      <c r="R10" s="7"/>
      <c r="S10" s="7"/>
    </row>
    <row r="11" spans="1:19" x14ac:dyDescent="0.2">
      <c r="A11" s="1" t="str">
        <f>CONCATENATE("PM",Table3[[#This Row],[LOCATION]])</f>
        <v>PMKG-L00-19</v>
      </c>
      <c r="B11" s="1" t="s">
        <v>40</v>
      </c>
      <c r="C11" s="1"/>
      <c r="D11" s="1"/>
      <c r="E11" s="1" t="s">
        <v>41</v>
      </c>
      <c r="F11" s="15" t="s">
        <v>42</v>
      </c>
      <c r="G11" s="2">
        <v>45047</v>
      </c>
      <c r="H11" s="3">
        <v>0</v>
      </c>
      <c r="I11" s="1">
        <v>1</v>
      </c>
      <c r="J11" s="1" t="s">
        <v>38</v>
      </c>
      <c r="K11" s="1">
        <v>0</v>
      </c>
      <c r="L11" s="1" t="s">
        <v>23</v>
      </c>
      <c r="M11" s="4" t="s">
        <v>24</v>
      </c>
      <c r="N11" s="1"/>
      <c r="O11" s="4"/>
      <c r="P11" s="4"/>
      <c r="Q11" s="4" t="s">
        <v>43</v>
      </c>
      <c r="R11" s="7"/>
      <c r="S11" s="7"/>
    </row>
    <row r="12" spans="1:19" x14ac:dyDescent="0.2">
      <c r="A12" s="14"/>
      <c r="B12" s="1"/>
      <c r="C12" s="1"/>
      <c r="D12" s="1"/>
      <c r="E12" s="1"/>
      <c r="F12" s="15"/>
      <c r="G12" s="2"/>
      <c r="H12" s="3"/>
      <c r="I12" s="1"/>
      <c r="J12" s="1"/>
      <c r="K12" s="1"/>
      <c r="L12" s="1"/>
      <c r="M12" s="4"/>
      <c r="N12" s="1"/>
      <c r="O12" s="4"/>
      <c r="P12" s="4"/>
      <c r="Q12" s="4"/>
      <c r="R12" s="7"/>
      <c r="S12" s="7"/>
    </row>
    <row r="13" spans="1:19" x14ac:dyDescent="0.2">
      <c r="A13" s="14"/>
      <c r="B13" s="1"/>
      <c r="C13" s="1"/>
      <c r="D13" s="1"/>
      <c r="E13" s="1"/>
      <c r="F13" s="15"/>
      <c r="G13" s="2"/>
      <c r="H13" s="3"/>
      <c r="I13" s="1"/>
      <c r="J13" s="1" t="s">
        <v>44</v>
      </c>
      <c r="K13" s="1"/>
      <c r="L13" s="1"/>
      <c r="M13" s="4"/>
      <c r="N13" s="1"/>
      <c r="O13" s="4"/>
      <c r="P13" s="4"/>
      <c r="Q13" s="4"/>
      <c r="R13" s="7"/>
      <c r="S13" s="7"/>
    </row>
    <row r="14" spans="1:19" ht="15" x14ac:dyDescent="0.25">
      <c r="A14"/>
      <c r="B14"/>
      <c r="C14"/>
      <c r="D14"/>
      <c r="E14"/>
      <c r="F14"/>
      <c r="G14"/>
      <c r="H14" s="16"/>
      <c r="I14"/>
      <c r="J14"/>
      <c r="K14"/>
      <c r="L14"/>
      <c r="M14"/>
      <c r="N14"/>
      <c r="O14"/>
      <c r="P14"/>
      <c r="Q14"/>
    </row>
    <row r="15" spans="1:19" ht="15" x14ac:dyDescent="0.25">
      <c r="A15"/>
      <c r="B15"/>
      <c r="C15"/>
      <c r="D15"/>
      <c r="E15"/>
      <c r="F15"/>
      <c r="G15"/>
      <c r="H15" s="16"/>
      <c r="I15"/>
      <c r="J15"/>
      <c r="K15"/>
      <c r="L15"/>
      <c r="M15"/>
      <c r="N15"/>
      <c r="O15"/>
      <c r="P15"/>
      <c r="Q15"/>
    </row>
    <row r="16" spans="1:19" ht="15" x14ac:dyDescent="0.25">
      <c r="A16"/>
      <c r="B16"/>
      <c r="C16"/>
      <c r="D16"/>
      <c r="E16"/>
      <c r="F16"/>
      <c r="G16"/>
      <c r="H16" s="16"/>
      <c r="I16"/>
      <c r="J16"/>
      <c r="K16"/>
      <c r="L16"/>
      <c r="M16"/>
      <c r="N16"/>
      <c r="O16"/>
      <c r="P16"/>
      <c r="Q16"/>
    </row>
    <row r="17" spans="1:17" ht="15" x14ac:dyDescent="0.25">
      <c r="A17"/>
      <c r="B17"/>
      <c r="C17"/>
      <c r="D17"/>
      <c r="E17"/>
      <c r="F17"/>
      <c r="G17"/>
      <c r="H17" s="16"/>
      <c r="I17"/>
      <c r="J17"/>
      <c r="K17"/>
      <c r="L17"/>
      <c r="M17"/>
      <c r="N17"/>
      <c r="O17"/>
      <c r="P17"/>
      <c r="Q17"/>
    </row>
    <row r="18" spans="1:17" ht="15" x14ac:dyDescent="0.25">
      <c r="A18"/>
      <c r="B18"/>
      <c r="C18"/>
      <c r="D18"/>
      <c r="E18"/>
      <c r="F18"/>
      <c r="G18"/>
      <c r="H18" s="16"/>
      <c r="I18"/>
      <c r="J18"/>
      <c r="K18"/>
      <c r="L18"/>
      <c r="M18"/>
      <c r="N18"/>
      <c r="O18"/>
      <c r="P18"/>
      <c r="Q18"/>
    </row>
    <row r="19" spans="1:17" ht="15" x14ac:dyDescent="0.25">
      <c r="A19"/>
      <c r="B19"/>
      <c r="C19"/>
      <c r="D19"/>
      <c r="E19"/>
      <c r="F19"/>
      <c r="G19"/>
      <c r="H19" s="16"/>
      <c r="I19"/>
      <c r="J19"/>
      <c r="K19"/>
      <c r="L19"/>
      <c r="M19"/>
      <c r="N19"/>
      <c r="O19"/>
      <c r="P19"/>
      <c r="Q19"/>
    </row>
    <row r="20" spans="1:17" ht="15" x14ac:dyDescent="0.25">
      <c r="A20"/>
      <c r="B20"/>
      <c r="C20"/>
      <c r="D20"/>
      <c r="E20"/>
      <c r="F20"/>
      <c r="G20"/>
      <c r="H20" s="16"/>
      <c r="I20"/>
      <c r="J20"/>
      <c r="K20"/>
      <c r="L20"/>
      <c r="M20"/>
      <c r="N20"/>
      <c r="O20"/>
      <c r="P20"/>
      <c r="Q20"/>
    </row>
    <row r="21" spans="1:17" ht="15" x14ac:dyDescent="0.25">
      <c r="A21"/>
      <c r="B21"/>
      <c r="C21"/>
      <c r="D21"/>
      <c r="E21"/>
      <c r="F21"/>
      <c r="G21"/>
      <c r="H21" s="16"/>
      <c r="I21"/>
      <c r="J21"/>
      <c r="K21"/>
      <c r="L21"/>
      <c r="M21"/>
      <c r="N21"/>
      <c r="O21"/>
      <c r="P21"/>
      <c r="Q21"/>
    </row>
  </sheetData>
  <conditionalFormatting sqref="A2:A4">
    <cfRule type="duplicateValues" dxfId="35" priority="9"/>
    <cfRule type="duplicateValues" dxfId="34" priority="10"/>
  </conditionalFormatting>
  <conditionalFormatting sqref="A7">
    <cfRule type="duplicateValues" dxfId="33" priority="7"/>
    <cfRule type="duplicateValues" dxfId="32" priority="8"/>
  </conditionalFormatting>
  <conditionalFormatting sqref="A8">
    <cfRule type="duplicateValues" dxfId="31" priority="5"/>
    <cfRule type="duplicateValues" dxfId="30" priority="6"/>
  </conditionalFormatting>
  <conditionalFormatting sqref="A9">
    <cfRule type="duplicateValues" dxfId="29" priority="3"/>
    <cfRule type="duplicateValues" dxfId="28" priority="4"/>
  </conditionalFormatting>
  <conditionalFormatting sqref="A11">
    <cfRule type="duplicateValues" dxfId="27" priority="1"/>
    <cfRule type="duplicateValues" dxfId="26" priority="2"/>
  </conditionalFormatting>
  <conditionalFormatting sqref="C22:C1048576 C1:C13">
    <cfRule type="duplicateValues" dxfId="25" priority="11"/>
  </conditionalFormatting>
  <conditionalFormatting sqref="C2:C13">
    <cfRule type="duplicateValues" dxfId="24" priority="12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PREVENTIVE MAINTENANCE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 Osama Attalla</dc:creator>
  <cp:lastModifiedBy>Islam Osama Attalla</cp:lastModifiedBy>
  <dcterms:created xsi:type="dcterms:W3CDTF">2026-07-05T06:49:26Z</dcterms:created>
  <dcterms:modified xsi:type="dcterms:W3CDTF">2026-07-05T06:49:51Z</dcterms:modified>
</cp:coreProperties>
</file>